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glenzer/Dropbox/Work/robo-advice/simulate return paths/"/>
    </mc:Choice>
  </mc:AlternateContent>
  <xr:revisionPtr revIDLastSave="0" documentId="8_{4676EB84-9D82-524B-8E3C-27461C85FD1B}" xr6:coauthVersionLast="47" xr6:coauthVersionMax="47" xr10:uidLastSave="{00000000-0000-0000-0000-000000000000}"/>
  <bookViews>
    <workbookView xWindow="0" yWindow="760" windowWidth="24720" windowHeight="1590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7" i="2" l="1"/>
  <c r="E77" i="2"/>
  <c r="M4" i="2"/>
  <c r="L4" i="2"/>
  <c r="K4" i="2"/>
  <c r="M3" i="2"/>
  <c r="L3" i="2"/>
  <c r="K3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8" i="2"/>
  <c r="E70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8" i="2"/>
  <c r="D9" i="2"/>
  <c r="F9" i="2" s="1"/>
  <c r="D10" i="2"/>
  <c r="F10" i="2" s="1"/>
  <c r="D11" i="2"/>
  <c r="F11" i="2" s="1"/>
  <c r="D12" i="2"/>
  <c r="F12" i="2" s="1"/>
  <c r="D13" i="2"/>
  <c r="F13" i="2" s="1"/>
  <c r="D14" i="2"/>
  <c r="F14" i="2" s="1"/>
  <c r="D15" i="2"/>
  <c r="F15" i="2" s="1"/>
  <c r="D16" i="2"/>
  <c r="F16" i="2" s="1"/>
  <c r="D17" i="2"/>
  <c r="F17" i="2" s="1"/>
  <c r="D18" i="2"/>
  <c r="F18" i="2" s="1"/>
  <c r="D19" i="2"/>
  <c r="F19" i="2" s="1"/>
  <c r="D20" i="2"/>
  <c r="F20" i="2" s="1"/>
  <c r="D21" i="2"/>
  <c r="F21" i="2" s="1"/>
  <c r="D22" i="2"/>
  <c r="F22" i="2" s="1"/>
  <c r="D23" i="2"/>
  <c r="F23" i="2" s="1"/>
  <c r="D24" i="2"/>
  <c r="F24" i="2" s="1"/>
  <c r="D25" i="2"/>
  <c r="F25" i="2" s="1"/>
  <c r="D26" i="2"/>
  <c r="F26" i="2" s="1"/>
  <c r="D27" i="2"/>
  <c r="F27" i="2" s="1"/>
  <c r="D28" i="2"/>
  <c r="F28" i="2" s="1"/>
  <c r="D29" i="2"/>
  <c r="F29" i="2" s="1"/>
  <c r="D30" i="2"/>
  <c r="F30" i="2" s="1"/>
  <c r="D31" i="2"/>
  <c r="F31" i="2" s="1"/>
  <c r="D32" i="2"/>
  <c r="F32" i="2" s="1"/>
  <c r="D33" i="2"/>
  <c r="F33" i="2" s="1"/>
  <c r="D34" i="2"/>
  <c r="F34" i="2" s="1"/>
  <c r="D35" i="2"/>
  <c r="F35" i="2" s="1"/>
  <c r="D36" i="2"/>
  <c r="F36" i="2" s="1"/>
  <c r="D37" i="2"/>
  <c r="F37" i="2" s="1"/>
  <c r="D38" i="2"/>
  <c r="F38" i="2" s="1"/>
  <c r="D39" i="2"/>
  <c r="F39" i="2" s="1"/>
  <c r="D40" i="2"/>
  <c r="F40" i="2" s="1"/>
  <c r="D41" i="2"/>
  <c r="F41" i="2" s="1"/>
  <c r="D42" i="2"/>
  <c r="F42" i="2" s="1"/>
  <c r="D43" i="2"/>
  <c r="F43" i="2" s="1"/>
  <c r="D44" i="2"/>
  <c r="F44" i="2" s="1"/>
  <c r="D45" i="2"/>
  <c r="F45" i="2" s="1"/>
  <c r="D46" i="2"/>
  <c r="F46" i="2" s="1"/>
  <c r="D47" i="2"/>
  <c r="F47" i="2" s="1"/>
  <c r="D48" i="2"/>
  <c r="F48" i="2" s="1"/>
  <c r="D49" i="2"/>
  <c r="F49" i="2" s="1"/>
  <c r="D50" i="2"/>
  <c r="F50" i="2" s="1"/>
  <c r="D51" i="2"/>
  <c r="F51" i="2" s="1"/>
  <c r="D52" i="2"/>
  <c r="F52" i="2" s="1"/>
  <c r="D53" i="2"/>
  <c r="F53" i="2" s="1"/>
  <c r="D54" i="2"/>
  <c r="F54" i="2" s="1"/>
  <c r="D55" i="2"/>
  <c r="F55" i="2" s="1"/>
  <c r="D56" i="2"/>
  <c r="F56" i="2" s="1"/>
  <c r="D57" i="2"/>
  <c r="F57" i="2" s="1"/>
  <c r="D58" i="2"/>
  <c r="F58" i="2" s="1"/>
  <c r="D59" i="2"/>
  <c r="F59" i="2" s="1"/>
  <c r="D60" i="2"/>
  <c r="F60" i="2" s="1"/>
  <c r="D61" i="2"/>
  <c r="F61" i="2" s="1"/>
  <c r="D62" i="2"/>
  <c r="F62" i="2" s="1"/>
  <c r="D63" i="2"/>
  <c r="F63" i="2" s="1"/>
  <c r="D64" i="2"/>
  <c r="F64" i="2" s="1"/>
  <c r="D65" i="2"/>
  <c r="F65" i="2" s="1"/>
  <c r="D66" i="2"/>
  <c r="F66" i="2" s="1"/>
  <c r="D67" i="2"/>
  <c r="F67" i="2" s="1"/>
  <c r="D68" i="2"/>
  <c r="F68" i="2" s="1"/>
  <c r="D69" i="2"/>
  <c r="F69" i="2" s="1"/>
  <c r="D70" i="2"/>
  <c r="F70" i="2" s="1"/>
  <c r="D71" i="2"/>
  <c r="F71" i="2" s="1"/>
  <c r="D72" i="2"/>
  <c r="F72" i="2" s="1"/>
  <c r="D73" i="2"/>
  <c r="F73" i="2" s="1"/>
  <c r="D74" i="2"/>
  <c r="F74" i="2" s="1"/>
  <c r="D75" i="2"/>
  <c r="F75" i="2" s="1"/>
  <c r="D8" i="2"/>
  <c r="F8" i="2" s="1"/>
</calcChain>
</file>

<file path=xl/sharedStrings.xml><?xml version="1.0" encoding="utf-8"?>
<sst xmlns="http://schemas.openxmlformats.org/spreadsheetml/2006/main" count="21" uniqueCount="19">
  <si>
    <t>Security</t>
  </si>
  <si>
    <t>SPX Index</t>
  </si>
  <si>
    <t>Start Date</t>
  </si>
  <si>
    <t>End Date</t>
  </si>
  <si>
    <t>Period</t>
  </si>
  <si>
    <t>Y</t>
  </si>
  <si>
    <t>Currency</t>
  </si>
  <si>
    <t>USD</t>
  </si>
  <si>
    <t>Date</t>
  </si>
  <si>
    <t>PX_LAST</t>
  </si>
  <si>
    <t>CHG_PCT_1D</t>
  </si>
  <si>
    <t>(1+R)</t>
  </si>
  <si>
    <t>Return (A)</t>
  </si>
  <si>
    <t>5Y Return (A)</t>
  </si>
  <si>
    <t>5Y Return (G)</t>
  </si>
  <si>
    <t>Double Check</t>
  </si>
  <si>
    <t>Min</t>
  </si>
  <si>
    <t>Mean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</si>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</sst>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0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0" applyNumberFormat="1"/>
    <xf numFmtId="22" fontId="1" fillId="0" borderId="0" xfId="42"/>
    <xf numFmtId="10" fontId="0" fillId="0" borderId="0" xfId="43" applyNumberFormat="1" applyFont="1"/>
    <xf numFmtId="165" fontId="0" fillId="0" borderId="0" xfId="0" applyNumberFormat="1"/>
    <xf numFmtId="0" fontId="17" fillId="0" borderId="0" xfId="0" applyFont="1"/>
    <xf numFmtId="10" fontId="0" fillId="0" borderId="0" xfId="0" applyNumberFormat="1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Percent" xfId="43" builtinId="5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4"/>
  <sheetViews>
    <sheetView tabSelected="1" topLeftCell="A47" workbookViewId="0">
      <selection activeCell="G77" sqref="G77"/>
    </sheetView>
  </sheetViews>
  <sheetFormatPr baseColWidth="10" defaultRowHeight="15" x14ac:dyDescent="0.2"/>
  <cols>
    <col min="1" max="1" width="11.83203125" bestFit="1" customWidth="1"/>
    <col min="2" max="2" width="16" bestFit="1" customWidth="1"/>
    <col min="3" max="3" width="9.1640625" bestFit="1" customWidth="1"/>
    <col min="5" max="5" width="12.5" bestFit="1" customWidth="1"/>
    <col min="10" max="10" width="12.83203125" bestFit="1" customWidth="1"/>
  </cols>
  <sheetData>
    <row r="1" spans="1:13" x14ac:dyDescent="0.2">
      <c r="A1" t="s">
        <v>0</v>
      </c>
      <c r="B1" t="s">
        <v>1</v>
      </c>
    </row>
    <row r="2" spans="1:13" x14ac:dyDescent="0.2">
      <c r="A2" t="s">
        <v>2</v>
      </c>
      <c r="B2" s="2">
        <v>21185</v>
      </c>
      <c r="K2" t="s">
        <v>16</v>
      </c>
      <c r="L2" t="s">
        <v>17</v>
      </c>
      <c r="M2" t="s">
        <v>18</v>
      </c>
    </row>
    <row r="3" spans="1:13" x14ac:dyDescent="0.2">
      <c r="A3" t="s">
        <v>3</v>
      </c>
      <c r="B3" s="2">
        <v>45657</v>
      </c>
      <c r="J3" s="5" t="s">
        <v>13</v>
      </c>
      <c r="K3" s="6">
        <f>+MIN(E8:E70)</f>
        <v>-4.1131657114823514E-2</v>
      </c>
      <c r="L3" s="6">
        <f>+AVERAGE(E8:E70)</f>
        <v>8.5396983710789465E-2</v>
      </c>
      <c r="M3" s="6">
        <f>+MAX(E8:E70)</f>
        <v>0.26315427233990785</v>
      </c>
    </row>
    <row r="4" spans="1:13" x14ac:dyDescent="0.2">
      <c r="A4" t="s">
        <v>4</v>
      </c>
      <c r="B4" t="s">
        <v>5</v>
      </c>
      <c r="J4" s="5" t="s">
        <v>14</v>
      </c>
      <c r="K4" s="6">
        <f>+MIN(G8:G70)</f>
        <v>-5.724256165075936E-2</v>
      </c>
      <c r="L4" s="6">
        <f>+AVERAGE(G8:G70)</f>
        <v>7.4423565707666686E-2</v>
      </c>
      <c r="M4" s="6">
        <f>+MAX(G8:G70)</f>
        <v>0.26184358542130859</v>
      </c>
    </row>
    <row r="5" spans="1:13" x14ac:dyDescent="0.2">
      <c r="A5" t="s">
        <v>6</v>
      </c>
      <c r="B5" t="s">
        <v>7</v>
      </c>
    </row>
    <row r="7" spans="1:13" x14ac:dyDescent="0.2">
      <c r="A7" t="s">
        <v>8</v>
      </c>
      <c r="B7" t="s">
        <v>9</v>
      </c>
      <c r="C7" t="s">
        <v>10</v>
      </c>
      <c r="D7" t="s">
        <v>12</v>
      </c>
      <c r="E7" s="5" t="s">
        <v>13</v>
      </c>
      <c r="F7" t="s">
        <v>11</v>
      </c>
      <c r="G7" s="5" t="s">
        <v>14</v>
      </c>
      <c r="H7" t="s">
        <v>15</v>
      </c>
    </row>
    <row r="8" spans="1:13" x14ac:dyDescent="0.2">
      <c r="A8" s="1">
        <v>45657</v>
      </c>
      <c r="B8">
        <v>5881.63</v>
      </c>
      <c r="C8">
        <v>23.31</v>
      </c>
      <c r="D8" s="3">
        <f>+IF(B9&lt;&gt;"",(B8/B9)-1,"")</f>
        <v>0.23309006819949563</v>
      </c>
      <c r="E8" s="3">
        <f>+AVERAGE(D8:D12)</f>
        <v>0.14249667927066376</v>
      </c>
      <c r="F8" s="4">
        <f>+IF(D8&lt;&gt;"",1+D8,"")</f>
        <v>1.2330900681994956</v>
      </c>
      <c r="G8" s="3">
        <f>+(PRODUCT(F8:F12)^(1/5))-1</f>
        <v>0.12729625170841219</v>
      </c>
      <c r="H8">
        <f>+B13*(1+G8)^5</f>
        <v>5881.6299999999974</v>
      </c>
    </row>
    <row r="9" spans="1:13" x14ac:dyDescent="0.2">
      <c r="A9" s="1">
        <v>45289</v>
      </c>
      <c r="B9">
        <v>4769.83</v>
      </c>
      <c r="C9">
        <v>24.23</v>
      </c>
      <c r="D9" s="3">
        <f t="shared" ref="D9:D72" si="0">+IF(B10&lt;&gt;"",(B9/B10)-1,"")</f>
        <v>0.24230498762859742</v>
      </c>
      <c r="E9" s="3">
        <f t="shared" ref="E9:E69" si="1">+AVERAGE(D9:D13)</f>
        <v>0.15363481378482255</v>
      </c>
      <c r="F9" s="4">
        <f t="shared" ref="F9:F72" si="2">+IF(D9&lt;&gt;"",1+D9,"")</f>
        <v>1.2423049876285974</v>
      </c>
      <c r="G9" s="3">
        <f t="shared" ref="G9:G70" si="3">+(PRODUCT(F9:F13)^(1/5))-1</f>
        <v>0.13729966310763531</v>
      </c>
      <c r="H9">
        <f t="shared" ref="H9:H72" si="4">+B14*(1+G9)^5</f>
        <v>4769.8299999999963</v>
      </c>
    </row>
    <row r="10" spans="1:13" x14ac:dyDescent="0.2">
      <c r="A10" s="1">
        <v>44925</v>
      </c>
      <c r="B10">
        <v>3839.5</v>
      </c>
      <c r="C10">
        <v>-19.440000000000001</v>
      </c>
      <c r="D10" s="3">
        <f t="shared" si="0"/>
        <v>-0.19442824232404154</v>
      </c>
      <c r="E10" s="3">
        <f t="shared" si="1"/>
        <v>9.269929678917288E-2</v>
      </c>
      <c r="F10" s="4">
        <f t="shared" si="2"/>
        <v>0.80557175767595846</v>
      </c>
      <c r="G10" s="3">
        <f t="shared" si="3"/>
        <v>7.5066484949900314E-2</v>
      </c>
      <c r="H10">
        <f t="shared" si="4"/>
        <v>3839.4999999999995</v>
      </c>
    </row>
    <row r="11" spans="1:13" x14ac:dyDescent="0.2">
      <c r="A11" s="1">
        <v>44561</v>
      </c>
      <c r="B11">
        <v>4766.18</v>
      </c>
      <c r="C11">
        <v>26.89</v>
      </c>
      <c r="D11" s="3">
        <f t="shared" si="0"/>
        <v>0.268927362908572</v>
      </c>
      <c r="E11" s="3">
        <f t="shared" si="1"/>
        <v>0.17042487503873485</v>
      </c>
      <c r="F11" s="4">
        <f t="shared" si="2"/>
        <v>1.268927362908572</v>
      </c>
      <c r="G11" s="3">
        <f t="shared" si="3"/>
        <v>0.1631343039742077</v>
      </c>
      <c r="H11">
        <f t="shared" si="4"/>
        <v>4766.1800000000021</v>
      </c>
    </row>
    <row r="12" spans="1:13" x14ac:dyDescent="0.2">
      <c r="A12" s="1">
        <v>44196</v>
      </c>
      <c r="B12">
        <v>3756.07</v>
      </c>
      <c r="C12">
        <v>16.260000000000002</v>
      </c>
      <c r="D12" s="3">
        <f t="shared" si="0"/>
        <v>0.16258921994069531</v>
      </c>
      <c r="E12" s="3">
        <f t="shared" si="1"/>
        <v>0.1357094338669444</v>
      </c>
      <c r="F12" s="4">
        <f t="shared" si="2"/>
        <v>1.1625892199406953</v>
      </c>
      <c r="G12" s="3">
        <f t="shared" si="3"/>
        <v>0.12941384405182332</v>
      </c>
      <c r="H12">
        <f t="shared" si="4"/>
        <v>3756.0699999999997</v>
      </c>
    </row>
    <row r="13" spans="1:13" x14ac:dyDescent="0.2">
      <c r="A13" s="1">
        <v>43830</v>
      </c>
      <c r="B13">
        <v>3230.78</v>
      </c>
      <c r="C13">
        <v>28.88</v>
      </c>
      <c r="D13" s="3">
        <f t="shared" si="0"/>
        <v>0.28878074077028959</v>
      </c>
      <c r="E13" s="3">
        <f t="shared" si="1"/>
        <v>0.10173838671206584</v>
      </c>
      <c r="F13" s="4">
        <f t="shared" si="2"/>
        <v>1.2887807407702896</v>
      </c>
      <c r="G13" s="3">
        <f t="shared" si="3"/>
        <v>9.4295029118029339E-2</v>
      </c>
      <c r="H13">
        <f t="shared" si="4"/>
        <v>3230.7799999999993</v>
      </c>
    </row>
    <row r="14" spans="1:13" x14ac:dyDescent="0.2">
      <c r="A14" s="1">
        <v>43465</v>
      </c>
      <c r="B14">
        <v>2506.85</v>
      </c>
      <c r="C14">
        <v>-6.24</v>
      </c>
      <c r="D14" s="3">
        <f t="shared" si="0"/>
        <v>-6.2372597349650949E-2</v>
      </c>
      <c r="E14" s="3">
        <f t="shared" si="1"/>
        <v>6.6763514932740103E-2</v>
      </c>
      <c r="F14" s="4">
        <f t="shared" si="2"/>
        <v>0.93762740265034905</v>
      </c>
      <c r="G14" s="3">
        <f t="shared" si="3"/>
        <v>6.284114198776436E-2</v>
      </c>
      <c r="H14">
        <f t="shared" si="4"/>
        <v>2506.85</v>
      </c>
    </row>
    <row r="15" spans="1:13" x14ac:dyDescent="0.2">
      <c r="A15" s="1">
        <v>43098</v>
      </c>
      <c r="B15">
        <v>2673.61</v>
      </c>
      <c r="C15">
        <v>19.420000000000002</v>
      </c>
      <c r="D15" s="3">
        <f t="shared" si="0"/>
        <v>0.19419964892376829</v>
      </c>
      <c r="E15" s="3">
        <f t="shared" si="1"/>
        <v>0.13844052495442002</v>
      </c>
      <c r="F15" s="4">
        <f t="shared" si="2"/>
        <v>1.1941996489237683</v>
      </c>
      <c r="G15" s="3">
        <f t="shared" si="3"/>
        <v>0.13392448710722649</v>
      </c>
      <c r="H15">
        <f t="shared" si="4"/>
        <v>2673.6100000000006</v>
      </c>
    </row>
    <row r="16" spans="1:13" x14ac:dyDescent="0.2">
      <c r="A16" s="1">
        <v>42734</v>
      </c>
      <c r="B16">
        <v>2238.83</v>
      </c>
      <c r="C16">
        <v>9.5399999999999991</v>
      </c>
      <c r="D16" s="3">
        <f t="shared" si="0"/>
        <v>9.5350157049619799E-2</v>
      </c>
      <c r="E16" s="3">
        <f t="shared" si="1"/>
        <v>0.126410178426797</v>
      </c>
      <c r="F16" s="4">
        <f t="shared" si="2"/>
        <v>1.0953501570496198</v>
      </c>
      <c r="G16" s="3">
        <f t="shared" si="3"/>
        <v>0.12226398787095794</v>
      </c>
      <c r="H16">
        <f t="shared" si="4"/>
        <v>2238.829999999999</v>
      </c>
    </row>
    <row r="17" spans="1:8" x14ac:dyDescent="0.2">
      <c r="A17" s="1">
        <v>42369</v>
      </c>
      <c r="B17">
        <v>2043.94</v>
      </c>
      <c r="C17">
        <v>-0.73</v>
      </c>
      <c r="D17" s="3">
        <f t="shared" si="0"/>
        <v>-7.26601583369757E-3</v>
      </c>
      <c r="E17" s="3">
        <f t="shared" si="1"/>
        <v>0.10733537617625089</v>
      </c>
      <c r="F17" s="4">
        <f t="shared" si="2"/>
        <v>0.99273398416630243</v>
      </c>
      <c r="G17" s="3">
        <f t="shared" si="3"/>
        <v>0.10200194288210818</v>
      </c>
      <c r="H17">
        <f t="shared" si="4"/>
        <v>2043.9400000000005</v>
      </c>
    </row>
    <row r="18" spans="1:8" x14ac:dyDescent="0.2">
      <c r="A18" s="1">
        <v>42004</v>
      </c>
      <c r="B18">
        <v>2058.9</v>
      </c>
      <c r="C18">
        <v>11.39</v>
      </c>
      <c r="D18" s="3">
        <f t="shared" si="0"/>
        <v>0.11390638187366098</v>
      </c>
      <c r="E18" s="3">
        <f t="shared" si="1"/>
        <v>0.13435399948468177</v>
      </c>
      <c r="F18" s="4">
        <f t="shared" si="2"/>
        <v>1.113906381873661</v>
      </c>
      <c r="G18" s="3">
        <f t="shared" si="3"/>
        <v>0.13048365510767201</v>
      </c>
      <c r="H18">
        <f t="shared" si="4"/>
        <v>2058.8999999999992</v>
      </c>
    </row>
    <row r="19" spans="1:8" x14ac:dyDescent="0.2">
      <c r="A19" s="1">
        <v>41639</v>
      </c>
      <c r="B19">
        <v>1848.36</v>
      </c>
      <c r="C19">
        <v>29.6</v>
      </c>
      <c r="D19" s="3">
        <f t="shared" si="0"/>
        <v>0.29601245275874866</v>
      </c>
      <c r="E19" s="3">
        <f t="shared" si="1"/>
        <v>0.15848110949245714</v>
      </c>
      <c r="F19" s="4">
        <f t="shared" si="2"/>
        <v>1.2960124527587487</v>
      </c>
      <c r="G19" s="3">
        <f t="shared" si="3"/>
        <v>0.15397318780628555</v>
      </c>
      <c r="H19">
        <f t="shared" si="4"/>
        <v>1848.3600000000008</v>
      </c>
    </row>
    <row r="20" spans="1:8" x14ac:dyDescent="0.2">
      <c r="A20" s="1">
        <v>41274</v>
      </c>
      <c r="B20">
        <v>1426.19</v>
      </c>
      <c r="C20">
        <v>13.4</v>
      </c>
      <c r="D20" s="3">
        <f t="shared" si="0"/>
        <v>0.13404791628565316</v>
      </c>
      <c r="E20" s="3">
        <f t="shared" si="1"/>
        <v>2.2307031591556004E-2</v>
      </c>
      <c r="F20" s="4">
        <f t="shared" si="2"/>
        <v>1.1340479162856532</v>
      </c>
      <c r="G20" s="3">
        <f t="shared" si="3"/>
        <v>-5.8109663989114324E-3</v>
      </c>
      <c r="H20">
        <f t="shared" si="4"/>
        <v>1426.1900000000005</v>
      </c>
    </row>
    <row r="21" spans="1:8" x14ac:dyDescent="0.2">
      <c r="A21" s="1">
        <v>40907</v>
      </c>
      <c r="B21">
        <v>1257.6099999999999</v>
      </c>
      <c r="C21">
        <v>0</v>
      </c>
      <c r="D21" s="3">
        <f t="shared" si="0"/>
        <v>-2.385420311079578E-5</v>
      </c>
      <c r="E21" s="3">
        <f t="shared" si="1"/>
        <v>2.5566036612250766E-3</v>
      </c>
      <c r="F21" s="4">
        <f t="shared" si="2"/>
        <v>0.9999761457968892</v>
      </c>
      <c r="G21" s="3">
        <f t="shared" si="3"/>
        <v>-2.3762298302607232E-2</v>
      </c>
      <c r="H21">
        <f t="shared" si="4"/>
        <v>1257.6099999999999</v>
      </c>
    </row>
    <row r="22" spans="1:8" x14ac:dyDescent="0.2">
      <c r="A22" s="1">
        <v>40543</v>
      </c>
      <c r="B22">
        <v>1257.6400000000001</v>
      </c>
      <c r="C22">
        <v>12.78</v>
      </c>
      <c r="D22" s="3">
        <f t="shared" si="0"/>
        <v>0.12782710070845682</v>
      </c>
      <c r="E22" s="3">
        <f t="shared" si="1"/>
        <v>2.9800237266108743E-2</v>
      </c>
      <c r="F22" s="4">
        <f t="shared" si="2"/>
        <v>1.1278271007084568</v>
      </c>
      <c r="G22" s="3">
        <f t="shared" si="3"/>
        <v>1.4935810938248029E-3</v>
      </c>
      <c r="H22">
        <f t="shared" si="4"/>
        <v>1257.6399999999996</v>
      </c>
    </row>
    <row r="23" spans="1:8" x14ac:dyDescent="0.2">
      <c r="A23" s="1">
        <v>40178</v>
      </c>
      <c r="B23">
        <v>1115.0999999999999</v>
      </c>
      <c r="C23">
        <v>23.45</v>
      </c>
      <c r="D23" s="3">
        <f t="shared" si="0"/>
        <v>0.23454193191253792</v>
      </c>
      <c r="E23" s="3">
        <f t="shared" si="1"/>
        <v>1.0236863464109746E-2</v>
      </c>
      <c r="F23" s="4">
        <f t="shared" si="2"/>
        <v>1.2345419319125379</v>
      </c>
      <c r="G23" s="3">
        <f t="shared" si="3"/>
        <v>-1.6514474282041225E-2</v>
      </c>
      <c r="H23">
        <f t="shared" si="4"/>
        <v>1115.1000000000001</v>
      </c>
    </row>
    <row r="24" spans="1:8" x14ac:dyDescent="0.2">
      <c r="A24" s="1">
        <v>39813</v>
      </c>
      <c r="B24">
        <v>903.25</v>
      </c>
      <c r="C24">
        <v>-38.49</v>
      </c>
      <c r="D24" s="3">
        <f t="shared" si="0"/>
        <v>-0.38485793674575708</v>
      </c>
      <c r="E24" s="3">
        <f t="shared" si="1"/>
        <v>-1.8684617385625678E-2</v>
      </c>
      <c r="F24" s="4">
        <f t="shared" si="2"/>
        <v>0.61514206325424292</v>
      </c>
      <c r="G24" s="3">
        <f t="shared" si="3"/>
        <v>-4.0716696271202779E-2</v>
      </c>
      <c r="H24">
        <f t="shared" si="4"/>
        <v>903.25000000000011</v>
      </c>
    </row>
    <row r="25" spans="1:8" x14ac:dyDescent="0.2">
      <c r="A25" s="1">
        <v>39447</v>
      </c>
      <c r="B25">
        <v>1468.36</v>
      </c>
      <c r="C25">
        <v>3.53</v>
      </c>
      <c r="D25" s="3">
        <f t="shared" si="0"/>
        <v>3.5295776633998521E-2</v>
      </c>
      <c r="E25" s="3">
        <f t="shared" si="1"/>
        <v>0.1110477619437035</v>
      </c>
      <c r="F25" s="4">
        <f t="shared" si="2"/>
        <v>1.0352957766339985</v>
      </c>
      <c r="G25" s="3">
        <f t="shared" si="3"/>
        <v>0.10786729791141547</v>
      </c>
      <c r="H25">
        <f t="shared" si="4"/>
        <v>1468.3600000000001</v>
      </c>
    </row>
    <row r="26" spans="1:8" x14ac:dyDescent="0.2">
      <c r="A26" s="1">
        <v>39080</v>
      </c>
      <c r="B26">
        <v>1418.3</v>
      </c>
      <c r="C26">
        <v>13.62</v>
      </c>
      <c r="D26" s="3">
        <f t="shared" si="0"/>
        <v>0.13619431382130753</v>
      </c>
      <c r="E26" s="3">
        <f t="shared" si="1"/>
        <v>5.725667156011334E-2</v>
      </c>
      <c r="F26" s="4">
        <f t="shared" si="2"/>
        <v>1.1361943138213075</v>
      </c>
      <c r="G26" s="3">
        <f t="shared" si="3"/>
        <v>4.3179851514027812E-2</v>
      </c>
      <c r="H26">
        <f t="shared" si="4"/>
        <v>1418.3000000000006</v>
      </c>
    </row>
    <row r="27" spans="1:8" x14ac:dyDescent="0.2">
      <c r="A27" s="1">
        <v>38716</v>
      </c>
      <c r="B27">
        <v>1248.29</v>
      </c>
      <c r="C27">
        <v>3</v>
      </c>
      <c r="D27" s="3">
        <f t="shared" si="0"/>
        <v>3.0010231698461842E-2</v>
      </c>
      <c r="E27" s="3">
        <f t="shared" si="1"/>
        <v>3.9324329664822914E-3</v>
      </c>
      <c r="F27" s="4">
        <f t="shared" si="2"/>
        <v>1.0300102316984618</v>
      </c>
      <c r="G27" s="3">
        <f t="shared" si="3"/>
        <v>-1.115120333031816E-2</v>
      </c>
      <c r="H27">
        <f t="shared" si="4"/>
        <v>1248.2900000000006</v>
      </c>
    </row>
    <row r="28" spans="1:8" x14ac:dyDescent="0.2">
      <c r="A28" s="1">
        <v>38352</v>
      </c>
      <c r="B28">
        <v>1211.92</v>
      </c>
      <c r="C28">
        <v>8.99</v>
      </c>
      <c r="D28" s="3">
        <f t="shared" si="0"/>
        <v>8.9934527663860786E-2</v>
      </c>
      <c r="E28" s="3">
        <f t="shared" si="1"/>
        <v>-2.2347986692931032E-2</v>
      </c>
      <c r="F28" s="4">
        <f t="shared" si="2"/>
        <v>1.0899345276638608</v>
      </c>
      <c r="G28" s="3">
        <f t="shared" si="3"/>
        <v>-3.777718386196105E-2</v>
      </c>
      <c r="H28">
        <f t="shared" si="4"/>
        <v>1211.92</v>
      </c>
    </row>
    <row r="29" spans="1:8" x14ac:dyDescent="0.2">
      <c r="A29" s="1">
        <v>37986</v>
      </c>
      <c r="B29">
        <v>1111.92</v>
      </c>
      <c r="C29">
        <v>26.38</v>
      </c>
      <c r="D29" s="3">
        <f t="shared" si="0"/>
        <v>0.26380395990088878</v>
      </c>
      <c r="E29" s="3">
        <f t="shared" si="1"/>
        <v>-1.2828027062479208E-3</v>
      </c>
      <c r="F29" s="4">
        <f t="shared" si="2"/>
        <v>1.2638039599008888</v>
      </c>
      <c r="G29" s="3">
        <f t="shared" si="3"/>
        <v>-1.9860079275864861E-2</v>
      </c>
      <c r="H29">
        <f t="shared" si="4"/>
        <v>1111.9199999999998</v>
      </c>
    </row>
    <row r="30" spans="1:8" x14ac:dyDescent="0.2">
      <c r="A30" s="1">
        <v>37621</v>
      </c>
      <c r="B30">
        <v>879.82</v>
      </c>
      <c r="C30">
        <v>-23.37</v>
      </c>
      <c r="D30" s="3">
        <f t="shared" si="0"/>
        <v>-0.23365967528395226</v>
      </c>
      <c r="E30" s="3">
        <f t="shared" si="1"/>
        <v>-7.0641426125330755E-4</v>
      </c>
      <c r="F30" s="4">
        <f t="shared" si="2"/>
        <v>0.76634032471604774</v>
      </c>
      <c r="G30" s="3">
        <f t="shared" si="3"/>
        <v>-1.9413469883708956E-2</v>
      </c>
      <c r="H30">
        <f t="shared" si="4"/>
        <v>879.82</v>
      </c>
    </row>
    <row r="31" spans="1:8" x14ac:dyDescent="0.2">
      <c r="A31" s="1">
        <v>37256</v>
      </c>
      <c r="B31">
        <v>1148.08</v>
      </c>
      <c r="C31">
        <v>-13.04</v>
      </c>
      <c r="D31" s="3">
        <f t="shared" si="0"/>
        <v>-0.1304268791468477</v>
      </c>
      <c r="E31" s="3">
        <f t="shared" si="1"/>
        <v>0.10804188281189912</v>
      </c>
      <c r="F31" s="4">
        <f t="shared" si="2"/>
        <v>0.8695731208531523</v>
      </c>
      <c r="G31" s="3">
        <f t="shared" si="3"/>
        <v>9.1594329168262378E-2</v>
      </c>
      <c r="H31">
        <f t="shared" si="4"/>
        <v>1148.0799999999995</v>
      </c>
    </row>
    <row r="32" spans="1:8" x14ac:dyDescent="0.2">
      <c r="A32" s="1">
        <v>36889</v>
      </c>
      <c r="B32">
        <v>1320.28</v>
      </c>
      <c r="C32">
        <v>-10.14</v>
      </c>
      <c r="D32" s="3">
        <f t="shared" si="0"/>
        <v>-0.10139186659860477</v>
      </c>
      <c r="E32" s="3">
        <f t="shared" si="1"/>
        <v>0.17465459129270633</v>
      </c>
      <c r="F32" s="4">
        <f t="shared" si="2"/>
        <v>0.89860813340139523</v>
      </c>
      <c r="G32" s="3">
        <f t="shared" si="3"/>
        <v>0.16473449378911975</v>
      </c>
      <c r="H32">
        <f t="shared" si="4"/>
        <v>1320.2799999999997</v>
      </c>
    </row>
    <row r="33" spans="1:8" x14ac:dyDescent="0.2">
      <c r="A33" s="1">
        <v>36525</v>
      </c>
      <c r="B33">
        <v>1469.25</v>
      </c>
      <c r="C33">
        <v>19.53</v>
      </c>
      <c r="D33" s="3">
        <f t="shared" si="0"/>
        <v>0.19526044759727634</v>
      </c>
      <c r="E33" s="3">
        <f t="shared" si="1"/>
        <v>0.26315427233990785</v>
      </c>
      <c r="F33" s="4">
        <f t="shared" si="2"/>
        <v>1.1952604475972763</v>
      </c>
      <c r="G33" s="3">
        <f t="shared" si="3"/>
        <v>0.26184358542130859</v>
      </c>
      <c r="H33">
        <f t="shared" si="4"/>
        <v>1469.2500000000002</v>
      </c>
    </row>
    <row r="34" spans="1:8" x14ac:dyDescent="0.2">
      <c r="A34" s="1">
        <v>36160</v>
      </c>
      <c r="B34">
        <v>1229.23</v>
      </c>
      <c r="C34">
        <v>26.67</v>
      </c>
      <c r="D34" s="3">
        <f t="shared" si="0"/>
        <v>0.26668590212586185</v>
      </c>
      <c r="E34" s="3">
        <f t="shared" si="1"/>
        <v>0.22102361062621956</v>
      </c>
      <c r="F34" s="4">
        <f t="shared" si="2"/>
        <v>1.2666859021258619</v>
      </c>
      <c r="G34" s="3">
        <f t="shared" si="3"/>
        <v>0.21385164357208475</v>
      </c>
      <c r="H34">
        <f t="shared" si="4"/>
        <v>1229.23</v>
      </c>
    </row>
    <row r="35" spans="1:8" x14ac:dyDescent="0.2">
      <c r="A35" s="1">
        <v>35795</v>
      </c>
      <c r="B35">
        <v>970.43</v>
      </c>
      <c r="C35">
        <v>31.01</v>
      </c>
      <c r="D35" s="3">
        <f t="shared" si="0"/>
        <v>0.31008181008180991</v>
      </c>
      <c r="E35" s="3">
        <f t="shared" si="1"/>
        <v>0.18179673292533624</v>
      </c>
      <c r="F35" s="4">
        <f t="shared" si="2"/>
        <v>1.3100818100818099</v>
      </c>
      <c r="G35" s="3">
        <f t="shared" si="3"/>
        <v>0.17368981870995093</v>
      </c>
      <c r="H35">
        <f t="shared" si="4"/>
        <v>970.43</v>
      </c>
    </row>
    <row r="36" spans="1:8" x14ac:dyDescent="0.2">
      <c r="A36" s="1">
        <v>35430</v>
      </c>
      <c r="B36">
        <v>740.74</v>
      </c>
      <c r="C36">
        <v>20.260000000000002</v>
      </c>
      <c r="D36" s="3">
        <f t="shared" si="0"/>
        <v>0.20263666325718832</v>
      </c>
      <c r="E36" s="3">
        <f t="shared" si="1"/>
        <v>0.12870889952390152</v>
      </c>
      <c r="F36" s="4">
        <f t="shared" si="2"/>
        <v>1.2026366632571883</v>
      </c>
      <c r="G36" s="3">
        <f t="shared" si="3"/>
        <v>0.12172707868902277</v>
      </c>
      <c r="H36">
        <f t="shared" si="4"/>
        <v>740.73999999999978</v>
      </c>
    </row>
    <row r="37" spans="1:8" x14ac:dyDescent="0.2">
      <c r="A37" s="1">
        <v>35062</v>
      </c>
      <c r="B37">
        <v>615.92999999999995</v>
      </c>
      <c r="C37">
        <v>34.11</v>
      </c>
      <c r="D37" s="3">
        <f t="shared" si="0"/>
        <v>0.34110653863740281</v>
      </c>
      <c r="E37" s="3">
        <f t="shared" si="1"/>
        <v>0.14079497611478711</v>
      </c>
      <c r="F37" s="4">
        <f t="shared" si="2"/>
        <v>1.3411065386374028</v>
      </c>
      <c r="G37" s="3">
        <f t="shared" si="3"/>
        <v>0.13278006333100212</v>
      </c>
      <c r="H37">
        <f t="shared" si="4"/>
        <v>615.93000000000006</v>
      </c>
    </row>
    <row r="38" spans="1:8" x14ac:dyDescent="0.2">
      <c r="A38" s="1">
        <v>34698</v>
      </c>
      <c r="B38">
        <v>459.27</v>
      </c>
      <c r="C38">
        <v>-1.54</v>
      </c>
      <c r="D38" s="3">
        <f t="shared" si="0"/>
        <v>-1.5392860971165212E-2</v>
      </c>
      <c r="E38" s="3">
        <f t="shared" si="1"/>
        <v>5.94553888174141E-2</v>
      </c>
      <c r="F38" s="4">
        <f t="shared" si="2"/>
        <v>0.98460713902883479</v>
      </c>
      <c r="G38" s="3">
        <f t="shared" si="3"/>
        <v>5.3805125392435649E-2</v>
      </c>
      <c r="H38">
        <f t="shared" si="4"/>
        <v>459.26999999999981</v>
      </c>
    </row>
    <row r="39" spans="1:8" x14ac:dyDescent="0.2">
      <c r="A39" s="1">
        <v>34334</v>
      </c>
      <c r="B39">
        <v>466.45</v>
      </c>
      <c r="C39">
        <v>7.06</v>
      </c>
      <c r="D39" s="3">
        <f t="shared" si="0"/>
        <v>7.0551513621445405E-2</v>
      </c>
      <c r="E39" s="3">
        <f t="shared" si="1"/>
        <v>0.11703489720637558</v>
      </c>
      <c r="F39" s="4">
        <f t="shared" si="2"/>
        <v>1.0705515136214454</v>
      </c>
      <c r="G39" s="3">
        <f t="shared" si="3"/>
        <v>0.10927592683374487</v>
      </c>
      <c r="H39">
        <f t="shared" si="4"/>
        <v>466.45</v>
      </c>
    </row>
    <row r="40" spans="1:8" x14ac:dyDescent="0.2">
      <c r="A40" s="1">
        <v>33969</v>
      </c>
      <c r="B40">
        <v>435.71</v>
      </c>
      <c r="C40">
        <v>4.46</v>
      </c>
      <c r="D40" s="3">
        <f t="shared" si="0"/>
        <v>4.4642643074636279E-2</v>
      </c>
      <c r="E40" s="3">
        <f t="shared" si="1"/>
        <v>0.12772627814729617</v>
      </c>
      <c r="F40" s="4">
        <f t="shared" si="2"/>
        <v>1.0446426430746363</v>
      </c>
      <c r="G40" s="3">
        <f t="shared" si="3"/>
        <v>0.12013917695026888</v>
      </c>
      <c r="H40">
        <f t="shared" si="4"/>
        <v>435.71000000000026</v>
      </c>
    </row>
    <row r="41" spans="1:8" x14ac:dyDescent="0.2">
      <c r="A41" s="1">
        <v>33603</v>
      </c>
      <c r="B41">
        <v>417.09</v>
      </c>
      <c r="C41">
        <v>26.31</v>
      </c>
      <c r="D41" s="3">
        <f t="shared" si="0"/>
        <v>0.26306704621161625</v>
      </c>
      <c r="E41" s="3">
        <f t="shared" si="1"/>
        <v>0.12285275221643385</v>
      </c>
      <c r="F41" s="4">
        <f t="shared" si="2"/>
        <v>1.2630670462116163</v>
      </c>
      <c r="G41" s="3">
        <f t="shared" si="3"/>
        <v>0.11486398775527196</v>
      </c>
      <c r="H41">
        <f t="shared" si="4"/>
        <v>417.09000000000003</v>
      </c>
    </row>
    <row r="42" spans="1:8" x14ac:dyDescent="0.2">
      <c r="A42" s="1">
        <v>33238</v>
      </c>
      <c r="B42">
        <v>330.22</v>
      </c>
      <c r="C42">
        <v>-6.56</v>
      </c>
      <c r="D42" s="3">
        <f t="shared" si="0"/>
        <v>-6.5591397849462219E-2</v>
      </c>
      <c r="E42" s="3">
        <f t="shared" si="1"/>
        <v>9.948016084612879E-2</v>
      </c>
      <c r="F42" s="4">
        <f t="shared" si="2"/>
        <v>0.93440860215053778</v>
      </c>
      <c r="G42" s="3">
        <f t="shared" si="3"/>
        <v>9.3424994014704943E-2</v>
      </c>
      <c r="H42">
        <f t="shared" si="4"/>
        <v>330.22000000000008</v>
      </c>
    </row>
    <row r="43" spans="1:8" x14ac:dyDescent="0.2">
      <c r="A43" s="1">
        <v>32871</v>
      </c>
      <c r="B43">
        <v>353.4</v>
      </c>
      <c r="C43">
        <v>27.25</v>
      </c>
      <c r="D43" s="3">
        <f t="shared" si="0"/>
        <v>0.27250468097364222</v>
      </c>
      <c r="E43" s="3">
        <f t="shared" si="1"/>
        <v>0.16526526653417478</v>
      </c>
      <c r="F43" s="4">
        <f t="shared" si="2"/>
        <v>1.2725046809736422</v>
      </c>
      <c r="G43" s="3">
        <f t="shared" si="3"/>
        <v>0.16140924097559228</v>
      </c>
      <c r="H43">
        <f t="shared" si="4"/>
        <v>353.4</v>
      </c>
    </row>
    <row r="44" spans="1:8" x14ac:dyDescent="0.2">
      <c r="A44" s="1">
        <v>32507</v>
      </c>
      <c r="B44">
        <v>277.72000000000003</v>
      </c>
      <c r="C44">
        <v>12.4</v>
      </c>
      <c r="D44" s="3">
        <f t="shared" si="0"/>
        <v>0.12400841832604836</v>
      </c>
      <c r="E44" s="3">
        <f t="shared" si="1"/>
        <v>0.11356551872239669</v>
      </c>
      <c r="F44" s="4">
        <f t="shared" si="2"/>
        <v>1.1240084183260484</v>
      </c>
      <c r="G44" s="3">
        <f t="shared" si="3"/>
        <v>0.10984287814588778</v>
      </c>
      <c r="H44">
        <f t="shared" si="4"/>
        <v>277.72000000000014</v>
      </c>
    </row>
    <row r="45" spans="1:8" x14ac:dyDescent="0.2">
      <c r="A45" s="1">
        <v>32142</v>
      </c>
      <c r="B45">
        <v>247.08</v>
      </c>
      <c r="C45">
        <v>2.0299999999999998</v>
      </c>
      <c r="D45" s="3">
        <f t="shared" si="0"/>
        <v>2.0275013420324672E-2</v>
      </c>
      <c r="E45" s="3">
        <f t="shared" si="1"/>
        <v>0.12330592834501411</v>
      </c>
      <c r="F45" s="4">
        <f t="shared" si="2"/>
        <v>1.0202750134203247</v>
      </c>
      <c r="G45" s="3">
        <f t="shared" si="3"/>
        <v>0.11929804958236523</v>
      </c>
      <c r="H45">
        <f t="shared" si="4"/>
        <v>247.08000000000018</v>
      </c>
    </row>
    <row r="46" spans="1:8" x14ac:dyDescent="0.2">
      <c r="A46" s="1">
        <v>31777</v>
      </c>
      <c r="B46">
        <v>242.17</v>
      </c>
      <c r="C46">
        <v>14.62</v>
      </c>
      <c r="D46" s="3">
        <f t="shared" si="0"/>
        <v>0.14620408936009088</v>
      </c>
      <c r="E46" s="3">
        <f t="shared" si="1"/>
        <v>0.14877356947979861</v>
      </c>
      <c r="F46" s="4">
        <f t="shared" si="2"/>
        <v>1.1462040893600909</v>
      </c>
      <c r="G46" s="3">
        <f t="shared" si="3"/>
        <v>0.14593874964111286</v>
      </c>
      <c r="H46">
        <f t="shared" si="4"/>
        <v>242.17000000000004</v>
      </c>
    </row>
    <row r="47" spans="1:8" x14ac:dyDescent="0.2">
      <c r="A47" s="1">
        <v>31412</v>
      </c>
      <c r="B47">
        <v>211.28</v>
      </c>
      <c r="C47">
        <v>26.33</v>
      </c>
      <c r="D47" s="3">
        <f t="shared" si="0"/>
        <v>0.26333413059076771</v>
      </c>
      <c r="E47" s="3">
        <f t="shared" si="1"/>
        <v>0.10007193840801613</v>
      </c>
      <c r="F47" s="4">
        <f t="shared" si="2"/>
        <v>1.2633341305907677</v>
      </c>
      <c r="G47" s="3">
        <f t="shared" si="3"/>
        <v>9.2489601006275013E-2</v>
      </c>
      <c r="H47">
        <f t="shared" si="4"/>
        <v>211.28000000000011</v>
      </c>
    </row>
    <row r="48" spans="1:8" x14ac:dyDescent="0.2">
      <c r="A48" s="1">
        <v>31047</v>
      </c>
      <c r="B48">
        <v>167.24</v>
      </c>
      <c r="C48">
        <v>1.4</v>
      </c>
      <c r="D48" s="3">
        <f t="shared" si="0"/>
        <v>1.4005941914751796E-2</v>
      </c>
      <c r="E48" s="3">
        <f t="shared" si="1"/>
        <v>9.8952268117174058E-2</v>
      </c>
      <c r="F48" s="4">
        <f t="shared" si="2"/>
        <v>1.0140059419147518</v>
      </c>
      <c r="G48" s="3">
        <f t="shared" si="3"/>
        <v>9.1519626276091781E-2</v>
      </c>
      <c r="H48">
        <f t="shared" si="4"/>
        <v>167.24000000000007</v>
      </c>
    </row>
    <row r="49" spans="1:8" x14ac:dyDescent="0.2">
      <c r="A49" s="1">
        <v>30680</v>
      </c>
      <c r="B49">
        <v>164.93</v>
      </c>
      <c r="C49">
        <v>17.27</v>
      </c>
      <c r="D49" s="3">
        <f t="shared" si="0"/>
        <v>0.17271046643913546</v>
      </c>
      <c r="E49" s="3">
        <f t="shared" si="1"/>
        <v>0.12076870537151432</v>
      </c>
      <c r="F49" s="4">
        <f t="shared" si="2"/>
        <v>1.1727104664391355</v>
      </c>
      <c r="G49" s="3">
        <f t="shared" si="3"/>
        <v>0.11405393340967684</v>
      </c>
      <c r="H49">
        <f t="shared" si="4"/>
        <v>164.93</v>
      </c>
    </row>
    <row r="50" spans="1:8" x14ac:dyDescent="0.2">
      <c r="A50" s="1">
        <v>30316</v>
      </c>
      <c r="B50">
        <v>140.63999999999999</v>
      </c>
      <c r="C50">
        <v>14.76</v>
      </c>
      <c r="D50" s="3">
        <f t="shared" si="0"/>
        <v>0.14761321909424718</v>
      </c>
      <c r="E50" s="3">
        <f t="shared" si="1"/>
        <v>8.8350691999565245E-2</v>
      </c>
      <c r="F50" s="4">
        <f t="shared" si="2"/>
        <v>1.1476132190942472</v>
      </c>
      <c r="G50" s="3">
        <f t="shared" si="3"/>
        <v>8.1398264258512931E-2</v>
      </c>
      <c r="H50">
        <f t="shared" si="4"/>
        <v>140.64000000000004</v>
      </c>
    </row>
    <row r="51" spans="1:8" x14ac:dyDescent="0.2">
      <c r="A51" s="1">
        <v>29951</v>
      </c>
      <c r="B51">
        <v>122.55</v>
      </c>
      <c r="C51">
        <v>-9.73</v>
      </c>
      <c r="D51" s="3">
        <f t="shared" si="0"/>
        <v>-9.7304065998821465E-2</v>
      </c>
      <c r="E51" s="3">
        <f t="shared" si="1"/>
        <v>3.5824139749671691E-2</v>
      </c>
      <c r="F51" s="4">
        <f t="shared" si="2"/>
        <v>0.90269593400117853</v>
      </c>
      <c r="G51" s="3">
        <f t="shared" si="3"/>
        <v>2.6628451371699891E-2</v>
      </c>
      <c r="H51">
        <f t="shared" si="4"/>
        <v>122.54999999999995</v>
      </c>
    </row>
    <row r="52" spans="1:8" x14ac:dyDescent="0.2">
      <c r="A52" s="1">
        <v>29586</v>
      </c>
      <c r="B52">
        <v>135.76</v>
      </c>
      <c r="C52">
        <v>25.77</v>
      </c>
      <c r="D52" s="3">
        <f t="shared" si="0"/>
        <v>0.25773577913655732</v>
      </c>
      <c r="E52" s="3">
        <f t="shared" si="1"/>
        <v>9.3581881655500937E-2</v>
      </c>
      <c r="F52" s="4">
        <f t="shared" si="2"/>
        <v>1.2577357791365573</v>
      </c>
      <c r="G52" s="3">
        <f t="shared" si="3"/>
        <v>8.5232243015744391E-2</v>
      </c>
      <c r="H52">
        <f t="shared" si="4"/>
        <v>135.76</v>
      </c>
    </row>
    <row r="53" spans="1:8" x14ac:dyDescent="0.2">
      <c r="A53" s="1">
        <v>29220</v>
      </c>
      <c r="B53">
        <v>107.94</v>
      </c>
      <c r="C53">
        <v>12.31</v>
      </c>
      <c r="D53" s="3">
        <f t="shared" si="0"/>
        <v>0.12308812818645309</v>
      </c>
      <c r="E53" s="3">
        <f t="shared" si="1"/>
        <v>0.10513274216424547</v>
      </c>
      <c r="F53" s="4">
        <f t="shared" si="2"/>
        <v>1.1230881281864531</v>
      </c>
      <c r="G53" s="3">
        <f t="shared" si="3"/>
        <v>9.5020679611614423E-2</v>
      </c>
      <c r="H53">
        <f t="shared" si="4"/>
        <v>107.93999999999993</v>
      </c>
    </row>
    <row r="54" spans="1:8" x14ac:dyDescent="0.2">
      <c r="A54" s="1">
        <v>28853</v>
      </c>
      <c r="B54">
        <v>96.11</v>
      </c>
      <c r="C54">
        <v>1.06</v>
      </c>
      <c r="D54" s="3">
        <f t="shared" si="0"/>
        <v>1.0620399579390094E-2</v>
      </c>
      <c r="E54" s="3">
        <f t="shared" si="1"/>
        <v>2.1078929955965608E-2</v>
      </c>
      <c r="F54" s="4">
        <f t="shared" si="2"/>
        <v>1.0106203995793901</v>
      </c>
      <c r="G54" s="3">
        <f t="shared" si="3"/>
        <v>-2.9699206808724288E-3</v>
      </c>
      <c r="H54">
        <f t="shared" si="4"/>
        <v>96.11</v>
      </c>
    </row>
    <row r="55" spans="1:8" x14ac:dyDescent="0.2">
      <c r="A55" s="1">
        <v>28489</v>
      </c>
      <c r="B55">
        <v>95.1</v>
      </c>
      <c r="C55">
        <v>-11.5</v>
      </c>
      <c r="D55" s="3">
        <f t="shared" si="0"/>
        <v>-0.11501954215522059</v>
      </c>
      <c r="E55" s="3">
        <f t="shared" si="1"/>
        <v>-1.5776196126790841E-2</v>
      </c>
      <c r="F55" s="4">
        <f t="shared" si="2"/>
        <v>0.88498045784477941</v>
      </c>
      <c r="G55" s="3">
        <f t="shared" si="3"/>
        <v>-4.2314515118229479E-2</v>
      </c>
      <c r="H55">
        <f t="shared" si="4"/>
        <v>95.09999999999998</v>
      </c>
    </row>
    <row r="56" spans="1:8" x14ac:dyDescent="0.2">
      <c r="A56" s="1">
        <v>28125</v>
      </c>
      <c r="B56">
        <v>107.46</v>
      </c>
      <c r="C56">
        <v>19.149999999999999</v>
      </c>
      <c r="D56" s="3">
        <f t="shared" si="0"/>
        <v>0.19148464353032479</v>
      </c>
      <c r="E56" s="3">
        <f t="shared" si="1"/>
        <v>3.8494241837018481E-2</v>
      </c>
      <c r="F56" s="4">
        <f t="shared" si="2"/>
        <v>1.1914846435303248</v>
      </c>
      <c r="G56" s="3">
        <f t="shared" si="3"/>
        <v>1.0305521478764401E-2</v>
      </c>
      <c r="H56">
        <f t="shared" si="4"/>
        <v>107.46000000000002</v>
      </c>
    </row>
    <row r="57" spans="1:8" x14ac:dyDescent="0.2">
      <c r="A57" s="1">
        <v>27759</v>
      </c>
      <c r="B57">
        <v>90.19</v>
      </c>
      <c r="C57">
        <v>31.55</v>
      </c>
      <c r="D57" s="3">
        <f t="shared" si="0"/>
        <v>0.31549008168027992</v>
      </c>
      <c r="E57" s="3">
        <f t="shared" si="1"/>
        <v>2.1770834563400631E-2</v>
      </c>
      <c r="F57" s="4">
        <f t="shared" si="2"/>
        <v>1.3154900816802799</v>
      </c>
      <c r="G57" s="3">
        <f t="shared" si="3"/>
        <v>-4.2905945729249106E-3</v>
      </c>
      <c r="H57">
        <f t="shared" si="4"/>
        <v>90.189999999999984</v>
      </c>
    </row>
    <row r="58" spans="1:8" x14ac:dyDescent="0.2">
      <c r="A58" s="1">
        <v>27394</v>
      </c>
      <c r="B58">
        <v>68.56</v>
      </c>
      <c r="C58">
        <v>-29.72</v>
      </c>
      <c r="D58" s="3">
        <f t="shared" si="0"/>
        <v>-0.29718093285494618</v>
      </c>
      <c r="E58" s="3">
        <f t="shared" si="1"/>
        <v>-4.1131657114823514E-2</v>
      </c>
      <c r="F58" s="4">
        <f t="shared" si="2"/>
        <v>0.70281906714505382</v>
      </c>
      <c r="G58" s="3">
        <f t="shared" si="3"/>
        <v>-5.724256165075936E-2</v>
      </c>
      <c r="H58">
        <f t="shared" si="4"/>
        <v>68.56</v>
      </c>
    </row>
    <row r="59" spans="1:8" x14ac:dyDescent="0.2">
      <c r="A59" s="1">
        <v>27029</v>
      </c>
      <c r="B59">
        <v>97.55</v>
      </c>
      <c r="C59">
        <v>-17.37</v>
      </c>
      <c r="D59" s="3">
        <f t="shared" si="0"/>
        <v>-0.17365523083439216</v>
      </c>
      <c r="E59" s="3">
        <f t="shared" si="1"/>
        <v>-4.4183667502660116E-3</v>
      </c>
      <c r="F59" s="4">
        <f t="shared" si="2"/>
        <v>0.82634476916560784</v>
      </c>
      <c r="G59" s="3">
        <f t="shared" si="3"/>
        <v>-1.2457508997624989E-2</v>
      </c>
      <c r="H59">
        <f t="shared" si="4"/>
        <v>97.550000000000011</v>
      </c>
    </row>
    <row r="60" spans="1:8" x14ac:dyDescent="0.2">
      <c r="A60" s="1">
        <v>26662</v>
      </c>
      <c r="B60">
        <v>118.05</v>
      </c>
      <c r="C60">
        <v>15.63</v>
      </c>
      <c r="D60" s="3">
        <f t="shared" si="0"/>
        <v>0.15633264766382604</v>
      </c>
      <c r="E60" s="3">
        <f t="shared" si="1"/>
        <v>4.5633504543594897E-2</v>
      </c>
      <c r="F60" s="4">
        <f t="shared" si="2"/>
        <v>1.156332647663826</v>
      </c>
      <c r="G60" s="3">
        <f t="shared" si="3"/>
        <v>4.1201398053016591E-2</v>
      </c>
      <c r="H60">
        <f t="shared" si="4"/>
        <v>118.04999999999993</v>
      </c>
    </row>
    <row r="61" spans="1:8" x14ac:dyDescent="0.2">
      <c r="A61" s="1">
        <v>26298</v>
      </c>
      <c r="B61">
        <v>102.09</v>
      </c>
      <c r="C61">
        <v>10.79</v>
      </c>
      <c r="D61" s="3">
        <f t="shared" si="0"/>
        <v>0.10786760716223553</v>
      </c>
      <c r="E61" s="3">
        <f t="shared" si="1"/>
        <v>5.4551215020788614E-2</v>
      </c>
      <c r="F61" s="4">
        <f t="shared" si="2"/>
        <v>1.1078676071622355</v>
      </c>
      <c r="G61" s="3">
        <f t="shared" si="3"/>
        <v>4.9110146570512159E-2</v>
      </c>
      <c r="H61">
        <f t="shared" si="4"/>
        <v>102.08999999999995</v>
      </c>
    </row>
    <row r="62" spans="1:8" x14ac:dyDescent="0.2">
      <c r="A62" s="1">
        <v>25933</v>
      </c>
      <c r="B62">
        <v>92.15</v>
      </c>
      <c r="C62">
        <v>0.1</v>
      </c>
      <c r="D62" s="3">
        <f t="shared" si="0"/>
        <v>9.7762328915917962E-4</v>
      </c>
      <c r="E62" s="3">
        <f t="shared" si="1"/>
        <v>6.7957180392773427E-3</v>
      </c>
      <c r="F62" s="4">
        <f t="shared" si="2"/>
        <v>1.0009776232891592</v>
      </c>
      <c r="G62" s="3">
        <f t="shared" si="3"/>
        <v>-6.065993763332278E-4</v>
      </c>
      <c r="H62">
        <f t="shared" si="4"/>
        <v>92.15000000000002</v>
      </c>
    </row>
    <row r="63" spans="1:8" x14ac:dyDescent="0.2">
      <c r="A63" s="1">
        <v>25568</v>
      </c>
      <c r="B63">
        <v>92.06</v>
      </c>
      <c r="C63">
        <v>-11.36</v>
      </c>
      <c r="D63" s="3">
        <f t="shared" si="0"/>
        <v>-0.11361448103215865</v>
      </c>
      <c r="E63" s="3">
        <f t="shared" si="1"/>
        <v>2.4724087186755249E-2</v>
      </c>
      <c r="F63" s="4">
        <f t="shared" si="2"/>
        <v>0.88638551896784135</v>
      </c>
      <c r="G63" s="3">
        <f t="shared" si="3"/>
        <v>1.6684617574212579E-2</v>
      </c>
      <c r="H63">
        <f t="shared" si="4"/>
        <v>92.059999999999974</v>
      </c>
    </row>
    <row r="64" spans="1:8" x14ac:dyDescent="0.2">
      <c r="A64" s="1">
        <v>25203</v>
      </c>
      <c r="B64">
        <v>103.86</v>
      </c>
      <c r="C64">
        <v>7.66</v>
      </c>
      <c r="D64" s="3">
        <f t="shared" si="0"/>
        <v>7.6604125634912368E-2</v>
      </c>
      <c r="E64" s="3">
        <f t="shared" si="1"/>
        <v>7.3386732793346926E-2</v>
      </c>
      <c r="F64" s="4">
        <f t="shared" si="2"/>
        <v>1.0766041256349124</v>
      </c>
      <c r="G64" s="3">
        <f t="shared" si="3"/>
        <v>6.7220727971482042E-2</v>
      </c>
      <c r="H64">
        <f t="shared" si="4"/>
        <v>103.85999999999997</v>
      </c>
    </row>
    <row r="65" spans="1:8" x14ac:dyDescent="0.2">
      <c r="A65" s="1">
        <v>24835</v>
      </c>
      <c r="B65">
        <v>96.47</v>
      </c>
      <c r="C65">
        <v>20.09</v>
      </c>
      <c r="D65" s="3">
        <f t="shared" si="0"/>
        <v>0.20092120004979463</v>
      </c>
      <c r="E65" s="3">
        <f t="shared" si="1"/>
        <v>9.584720719092861E-2</v>
      </c>
      <c r="F65" s="4">
        <f t="shared" si="2"/>
        <v>1.2009212000497946</v>
      </c>
      <c r="G65" s="3">
        <f t="shared" si="3"/>
        <v>8.8610662790262751E-2</v>
      </c>
      <c r="H65">
        <f t="shared" si="4"/>
        <v>96.470000000000013</v>
      </c>
    </row>
    <row r="66" spans="1:8" x14ac:dyDescent="0.2">
      <c r="A66" s="1">
        <v>24471</v>
      </c>
      <c r="B66">
        <v>80.33</v>
      </c>
      <c r="C66">
        <v>-13.09</v>
      </c>
      <c r="D66" s="3">
        <f t="shared" si="0"/>
        <v>-0.13090987774532081</v>
      </c>
      <c r="E66" s="3">
        <f t="shared" si="1"/>
        <v>3.204312091961399E-2</v>
      </c>
      <c r="F66" s="4">
        <f t="shared" si="2"/>
        <v>0.86909012225467919</v>
      </c>
      <c r="G66" s="3">
        <f t="shared" si="3"/>
        <v>2.3419354158683348E-2</v>
      </c>
      <c r="H66">
        <f t="shared" si="4"/>
        <v>80.330000000000013</v>
      </c>
    </row>
    <row r="67" spans="1:8" x14ac:dyDescent="0.2">
      <c r="A67" s="1">
        <v>24107</v>
      </c>
      <c r="B67">
        <v>92.43</v>
      </c>
      <c r="C67">
        <v>9.06</v>
      </c>
      <c r="D67" s="3">
        <f t="shared" si="0"/>
        <v>9.0619469026548716E-2</v>
      </c>
      <c r="E67" s="3">
        <f t="shared" si="1"/>
        <v>0.10448219507477005</v>
      </c>
      <c r="F67" s="4">
        <f t="shared" si="2"/>
        <v>1.0906194690265487</v>
      </c>
      <c r="G67" s="3">
        <f t="shared" si="3"/>
        <v>9.7267246109440819E-2</v>
      </c>
      <c r="H67">
        <f t="shared" si="4"/>
        <v>92.430000000000035</v>
      </c>
    </row>
    <row r="68" spans="1:8" x14ac:dyDescent="0.2">
      <c r="A68" s="1">
        <v>23742</v>
      </c>
      <c r="B68">
        <v>84.75</v>
      </c>
      <c r="C68">
        <v>12.97</v>
      </c>
      <c r="D68" s="3">
        <f t="shared" si="0"/>
        <v>0.12969874700079975</v>
      </c>
      <c r="E68" s="3">
        <f t="shared" si="1"/>
        <v>8.0414070179128022E-2</v>
      </c>
      <c r="F68" s="4">
        <f t="shared" si="2"/>
        <v>1.1296987470007998</v>
      </c>
      <c r="G68" s="3">
        <f t="shared" si="3"/>
        <v>7.19069301576436E-2</v>
      </c>
      <c r="H68">
        <f t="shared" si="4"/>
        <v>84.75</v>
      </c>
    </row>
    <row r="69" spans="1:8" x14ac:dyDescent="0.2">
      <c r="A69" s="1">
        <v>23376</v>
      </c>
      <c r="B69">
        <v>75.02</v>
      </c>
      <c r="C69">
        <v>18.89</v>
      </c>
      <c r="D69" s="3">
        <f t="shared" si="0"/>
        <v>0.18890649762282075</v>
      </c>
      <c r="E69" s="3">
        <f t="shared" si="1"/>
        <v>7.1427771240840945E-2</v>
      </c>
      <c r="F69" s="4">
        <f t="shared" si="2"/>
        <v>1.1889064976228207</v>
      </c>
      <c r="G69" s="3">
        <f t="shared" si="3"/>
        <v>6.3241360618438325E-2</v>
      </c>
      <c r="H69">
        <f t="shared" si="4"/>
        <v>75.02000000000001</v>
      </c>
    </row>
    <row r="70" spans="1:8" x14ac:dyDescent="0.2">
      <c r="A70" s="1">
        <v>23011</v>
      </c>
      <c r="B70">
        <v>63.1</v>
      </c>
      <c r="C70">
        <v>-11.81</v>
      </c>
      <c r="D70" s="3">
        <f t="shared" si="0"/>
        <v>-0.11809923130677846</v>
      </c>
      <c r="E70" s="3">
        <f>+AVERAGE(D70:D74)</f>
        <v>0.10976550147371615</v>
      </c>
      <c r="F70" s="4">
        <f t="shared" si="2"/>
        <v>0.88190076869322154</v>
      </c>
      <c r="G70" s="3">
        <f t="shared" si="3"/>
        <v>9.5508094990863102E-2</v>
      </c>
      <c r="H70">
        <f t="shared" si="4"/>
        <v>63.10000000000003</v>
      </c>
    </row>
    <row r="71" spans="1:8" x14ac:dyDescent="0.2">
      <c r="A71" s="1">
        <v>22644</v>
      </c>
      <c r="B71">
        <v>71.55</v>
      </c>
      <c r="C71">
        <v>23.13</v>
      </c>
      <c r="D71" s="3">
        <f t="shared" si="0"/>
        <v>0.23128549303045953</v>
      </c>
      <c r="E71" s="3"/>
      <c r="F71" s="4">
        <f t="shared" si="2"/>
        <v>1.2312854930304595</v>
      </c>
      <c r="G71" s="3"/>
      <c r="H71">
        <f t="shared" si="4"/>
        <v>0</v>
      </c>
    </row>
    <row r="72" spans="1:8" x14ac:dyDescent="0.2">
      <c r="A72" s="1">
        <v>22280</v>
      </c>
      <c r="B72">
        <v>58.11</v>
      </c>
      <c r="C72">
        <v>-2.97</v>
      </c>
      <c r="D72" s="3">
        <f t="shared" si="0"/>
        <v>-2.972115545166143E-2</v>
      </c>
      <c r="E72" s="3"/>
      <c r="F72" s="4">
        <f t="shared" si="2"/>
        <v>0.97027884454833857</v>
      </c>
      <c r="G72" s="3"/>
      <c r="H72">
        <f t="shared" si="4"/>
        <v>0</v>
      </c>
    </row>
    <row r="73" spans="1:8" x14ac:dyDescent="0.2">
      <c r="A73" s="1">
        <v>21915</v>
      </c>
      <c r="B73">
        <v>59.89</v>
      </c>
      <c r="C73">
        <v>8.48</v>
      </c>
      <c r="D73" s="3">
        <f t="shared" ref="D73:D75" si="5">+IF(B74&lt;&gt;"",(B73/B74)-1,"")</f>
        <v>8.4767252309364327E-2</v>
      </c>
      <c r="E73" s="3"/>
      <c r="F73" s="4">
        <f t="shared" ref="F73:F75" si="6">+IF(D73&lt;&gt;"",1+D73,"")</f>
        <v>1.0847672523093643</v>
      </c>
      <c r="G73" s="3"/>
      <c r="H73">
        <f t="shared" ref="H73:H75" si="7">+B78*(1+G73)^5</f>
        <v>0</v>
      </c>
    </row>
    <row r="74" spans="1:8" x14ac:dyDescent="0.2">
      <c r="A74" s="1">
        <v>21550</v>
      </c>
      <c r="B74">
        <v>55.21</v>
      </c>
      <c r="C74">
        <v>38.06</v>
      </c>
      <c r="D74" s="3">
        <f t="shared" si="5"/>
        <v>0.3805951487871968</v>
      </c>
      <c r="E74" s="3"/>
      <c r="F74" s="4">
        <f t="shared" si="6"/>
        <v>1.3805951487871968</v>
      </c>
      <c r="G74" s="3"/>
      <c r="H74">
        <f t="shared" si="7"/>
        <v>0</v>
      </c>
    </row>
    <row r="75" spans="1:8" x14ac:dyDescent="0.2">
      <c r="A75" s="1">
        <v>21185</v>
      </c>
      <c r="B75">
        <v>39.99</v>
      </c>
      <c r="C75">
        <v>-14.31</v>
      </c>
      <c r="D75" s="3" t="str">
        <f t="shared" si="5"/>
        <v/>
      </c>
      <c r="E75" s="3"/>
      <c r="F75" s="4" t="str">
        <f t="shared" si="6"/>
        <v/>
      </c>
      <c r="G75" s="3"/>
      <c r="H75">
        <f t="shared" si="7"/>
        <v>0</v>
      </c>
    </row>
    <row r="76" spans="1:8" x14ac:dyDescent="0.2">
      <c r="A76" s="1"/>
    </row>
    <row r="77" spans="1:8" x14ac:dyDescent="0.2">
      <c r="A77" s="1"/>
      <c r="E77" s="3">
        <f>STDEV(E8:E70)</f>
        <v>6.3809436036337236E-2</v>
      </c>
      <c r="G77" s="3">
        <f>STDEV(G8:G70)</f>
        <v>6.8577678564691658E-2</v>
      </c>
    </row>
    <row r="78" spans="1:8" x14ac:dyDescent="0.2">
      <c r="A78" s="1"/>
    </row>
    <row r="79" spans="1:8" x14ac:dyDescent="0.2">
      <c r="A79" s="1"/>
    </row>
    <row r="80" spans="1:8" x14ac:dyDescent="0.2">
      <c r="A80" s="1"/>
    </row>
    <row r="81" spans="1:1" x14ac:dyDescent="0.2">
      <c r="A81" s="1"/>
    </row>
    <row r="82" spans="1:1" x14ac:dyDescent="0.2">
      <c r="A82" s="1"/>
    </row>
    <row r="83" spans="1:1" x14ac:dyDescent="0.2">
      <c r="A83" s="1"/>
    </row>
    <row r="84" spans="1:1" x14ac:dyDescent="0.2">
      <c r="A84" s="1"/>
    </row>
    <row r="85" spans="1:1" x14ac:dyDescent="0.2">
      <c r="A85" s="1"/>
    </row>
    <row r="86" spans="1:1" x14ac:dyDescent="0.2">
      <c r="A86" s="1"/>
    </row>
    <row r="87" spans="1:1" x14ac:dyDescent="0.2">
      <c r="A87" s="1"/>
    </row>
    <row r="88" spans="1:1" x14ac:dyDescent="0.2">
      <c r="A88" s="1"/>
    </row>
    <row r="89" spans="1:1" x14ac:dyDescent="0.2">
      <c r="A89" s="1"/>
    </row>
    <row r="90" spans="1:1" x14ac:dyDescent="0.2">
      <c r="A90" s="1"/>
    </row>
    <row r="91" spans="1:1" x14ac:dyDescent="0.2">
      <c r="A91" s="1"/>
    </row>
    <row r="92" spans="1:1" x14ac:dyDescent="0.2">
      <c r="A92" s="1"/>
    </row>
    <row r="93" spans="1:1" x14ac:dyDescent="0.2">
      <c r="A93" s="1"/>
    </row>
    <row r="94" spans="1:1" x14ac:dyDescent="0.2">
      <c r="A94" s="1"/>
    </row>
    <row r="95" spans="1:1" x14ac:dyDescent="0.2">
      <c r="A95" s="1"/>
    </row>
    <row r="96" spans="1:1" x14ac:dyDescent="0.2">
      <c r="A96" s="1"/>
    </row>
    <row r="97" spans="1:1" x14ac:dyDescent="0.2">
      <c r="A97" s="1"/>
    </row>
    <row r="98" spans="1:1" x14ac:dyDescent="0.2">
      <c r="A98" s="1"/>
    </row>
    <row r="99" spans="1:1" x14ac:dyDescent="0.2">
      <c r="A99" s="1"/>
    </row>
    <row r="100" spans="1:1" x14ac:dyDescent="0.2">
      <c r="A100" s="1"/>
    </row>
    <row r="101" spans="1:1" x14ac:dyDescent="0.2">
      <c r="A101" s="1"/>
    </row>
    <row r="102" spans="1:1" x14ac:dyDescent="0.2">
      <c r="A102" s="1"/>
    </row>
    <row r="103" spans="1:1" x14ac:dyDescent="0.2">
      <c r="A103" s="1"/>
    </row>
    <row r="104" spans="1:1" x14ac:dyDescent="0.2">
      <c r="A10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Franca Glenzer</cp:lastModifiedBy>
  <dcterms:created xsi:type="dcterms:W3CDTF">2013-04-03T15:49:21Z</dcterms:created>
  <dcterms:modified xsi:type="dcterms:W3CDTF">2025-03-24T19:52:13Z</dcterms:modified>
</cp:coreProperties>
</file>